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livo\Dropbox\HMA\Alfatherm\ALFAMITO\"/>
    </mc:Choice>
  </mc:AlternateContent>
  <xr:revisionPtr revIDLastSave="0" documentId="13_ncr:1_{00D30359-21C9-4FE7-8E1A-3F5EF8954FD7}" xr6:coauthVersionLast="47" xr6:coauthVersionMax="47" xr10:uidLastSave="{00000000-0000-0000-0000-000000000000}"/>
  <bookViews>
    <workbookView xWindow="-108" yWindow="-108" windowWidth="23256" windowHeight="12456" xr2:uid="{12577389-B8D6-4911-89A0-B3924C7913A4}"/>
  </bookViews>
  <sheets>
    <sheet name="202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2" l="1"/>
  <c r="H14" i="2" s="1"/>
  <c r="E8" i="2"/>
  <c r="E9" i="2"/>
  <c r="E26" i="2"/>
  <c r="E22" i="2" s="1"/>
  <c r="N15" i="2"/>
  <c r="N14" i="2" s="1"/>
  <c r="K14" i="2"/>
  <c r="F14" i="2"/>
  <c r="E21" i="2"/>
  <c r="E14" i="2" s="1"/>
  <c r="B11" i="2"/>
  <c r="E3" i="2"/>
  <c r="E4" i="2"/>
  <c r="E5" i="2"/>
  <c r="E6" i="2"/>
  <c r="E7" i="2"/>
  <c r="D14" i="2"/>
  <c r="G14" i="2"/>
  <c r="I14" i="2"/>
  <c r="J14" i="2"/>
  <c r="L14" i="2"/>
  <c r="M14" i="2"/>
  <c r="D22" i="2"/>
  <c r="F22" i="2"/>
  <c r="G22" i="2"/>
  <c r="H22" i="2"/>
  <c r="I22" i="2"/>
  <c r="J22" i="2"/>
  <c r="K22" i="2"/>
  <c r="L22" i="2"/>
  <c r="M22" i="2"/>
  <c r="N22" i="2"/>
  <c r="C22" i="2"/>
  <c r="C14" i="2"/>
  <c r="E10" i="2"/>
  <c r="E2" i="2"/>
  <c r="C28" i="2" l="1"/>
  <c r="D28" i="2" s="1"/>
  <c r="E28" i="2" s="1"/>
  <c r="F28" i="2" s="1"/>
  <c r="G28" i="2" s="1"/>
  <c r="H28" i="2" l="1"/>
  <c r="I28" i="2" s="1"/>
  <c r="J28" i="2" s="1"/>
  <c r="K28" i="2" s="1"/>
  <c r="L28" i="2" s="1"/>
  <c r="M28" i="2" s="1"/>
  <c r="N28" i="2" s="1"/>
  <c r="B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tc={4766686F-4E0A-4196-BEF4-17DD8A04F87D}</author>
  </authors>
  <commentList>
    <comment ref="E13" authorId="0" shapeId="0" xr:uid="{4766686F-4E0A-4196-BEF4-17DD8A04F87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Pago em 1 transferência de 3812,50 euros diretamente para YLP que fez as diferentes transferências</t>
      </text>
    </comment>
  </commentList>
</comments>
</file>

<file path=xl/sharedStrings.xml><?xml version="1.0" encoding="utf-8"?>
<sst xmlns="http://schemas.openxmlformats.org/spreadsheetml/2006/main" count="47" uniqueCount="35">
  <si>
    <t>YLP fiduciário</t>
  </si>
  <si>
    <t>Total anual</t>
  </si>
  <si>
    <t>Câmara de Comércio do Luxemburgo</t>
  </si>
  <si>
    <t>Imposto sobre a riqueza (ACD)</t>
  </si>
  <si>
    <t>Condições de pagamento</t>
  </si>
  <si>
    <t>Em 4 vezes por ano</t>
  </si>
  <si>
    <t>Em 1 vez por ano</t>
  </si>
  <si>
    <t>CRS/Fatca</t>
  </si>
  <si>
    <t>Pagamento único</t>
  </si>
  <si>
    <t xml:space="preserve">Saldo atual da Conta Wise </t>
  </si>
  <si>
    <t>Taxas de abertura de conta wise</t>
  </si>
  <si>
    <t>Contribuição SO conta wise</t>
  </si>
  <si>
    <t>Contribuição em conta corrente Agape</t>
  </si>
  <si>
    <t>Pagamentos efetuados</t>
  </si>
  <si>
    <t>Desconto de saldo</t>
  </si>
  <si>
    <t>Pagamentos a realizar antes do final do ano</t>
  </si>
  <si>
    <t>Data das transações bancárias</t>
  </si>
  <si>
    <t>Saida</t>
  </si>
  <si>
    <t>Entrada</t>
  </si>
  <si>
    <t>Emprestimo ACT Group</t>
  </si>
  <si>
    <t>Fluxo para Alfatherm</t>
  </si>
  <si>
    <t>Pagamento juros ACT Group</t>
  </si>
  <si>
    <t>Saldo previsto da Conta Wise</t>
  </si>
  <si>
    <t>Centralis Declaraçao comtas annuais 2023</t>
  </si>
  <si>
    <t>Centralis Declaraçao fiscais 2023</t>
  </si>
  <si>
    <t>Provision of registered office for the year 2025</t>
  </si>
  <si>
    <t>Introduction of two managers for the year 2025</t>
  </si>
  <si>
    <t>Company administration for the year 2025</t>
  </si>
  <si>
    <t>Centralis Comtabilidade 2024 avanço</t>
  </si>
  <si>
    <t xml:space="preserve">Janeiro </t>
  </si>
  <si>
    <t>Abril</t>
  </si>
  <si>
    <t>Échéance</t>
  </si>
  <si>
    <t>Total</t>
  </si>
  <si>
    <t>Pagamento a fazer em 2025</t>
  </si>
  <si>
    <t>Pagamento emprestimo ACT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</si>
</sst>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\ [$€-40C]_-;\-* #,##0.00\ [$€-40C]_-;_-* &quot;-&quot;??\ [$€-40C]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44" fontId="0" fillId="0" borderId="0" xfId="1" applyFont="1"/>
    <xf numFmtId="0" fontId="2" fillId="2" borderId="0" xfId="0" applyFont="1" applyFill="1"/>
    <xf numFmtId="44" fontId="2" fillId="2" borderId="0" xfId="1" applyFont="1" applyFill="1"/>
    <xf numFmtId="0" fontId="2" fillId="4" borderId="0" xfId="0" applyFont="1" applyFill="1"/>
    <xf numFmtId="44" fontId="2" fillId="4" borderId="0" xfId="1" applyFont="1" applyFill="1"/>
    <xf numFmtId="0" fontId="0" fillId="0" borderId="1" xfId="0" applyBorder="1"/>
    <xf numFmtId="44" fontId="0" fillId="0" borderId="1" xfId="1" applyFont="1" applyBorder="1"/>
    <xf numFmtId="9" fontId="0" fillId="0" borderId="1" xfId="0" applyNumberFormat="1" applyBorder="1"/>
    <xf numFmtId="44" fontId="0" fillId="0" borderId="1" xfId="0" applyNumberFormat="1" applyBorder="1"/>
    <xf numFmtId="0" fontId="2" fillId="3" borderId="0" xfId="0" applyFont="1" applyFill="1"/>
    <xf numFmtId="44" fontId="2" fillId="3" borderId="0" xfId="1" applyFont="1" applyFill="1"/>
    <xf numFmtId="17" fontId="2" fillId="3" borderId="0" xfId="0" applyNumberFormat="1" applyFont="1" applyFill="1"/>
    <xf numFmtId="0" fontId="2" fillId="0" borderId="0" xfId="0" applyFont="1"/>
    <xf numFmtId="44" fontId="2" fillId="0" borderId="0" xfId="1" applyFont="1" applyFill="1"/>
    <xf numFmtId="44" fontId="0" fillId="0" borderId="0" xfId="0" applyNumberFormat="1"/>
    <xf numFmtId="44" fontId="2" fillId="0" borderId="0" xfId="1" applyFont="1"/>
    <xf numFmtId="0" fontId="0" fillId="0" borderId="2" xfId="0" applyBorder="1"/>
    <xf numFmtId="44" fontId="0" fillId="0" borderId="0" xfId="1" applyFont="1" applyBorder="1"/>
    <xf numFmtId="9" fontId="0" fillId="0" borderId="0" xfId="0" applyNumberFormat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44" fontId="2" fillId="6" borderId="0" xfId="1" applyFont="1" applyFill="1"/>
    <xf numFmtId="44" fontId="0" fillId="6" borderId="0" xfId="1" applyFont="1" applyFill="1"/>
    <xf numFmtId="0" fontId="0" fillId="6" borderId="0" xfId="0" applyFill="1"/>
    <xf numFmtId="164" fontId="0" fillId="6" borderId="0" xfId="0" applyNumberFormat="1" applyFill="1"/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téphane Olivo" id="{33CCF1B3-5AEE-42A8-8ECF-F7637F8BD002}" userId="S::StephaneOlivo@BSQUAREFINANCE.onmicrosoft.com::9bcda22a-0a88-4b70-a62c-8a17470fd9c4" providerId="AD"/>
</personList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3" dT="2024-08-02T13:18:48.45" personId="{33CCF1B3-5AEE-42A8-8ECF-F7637F8BD002}" id="{4766686F-4E0A-4196-BEF4-17DD8A04F87D}">
    <text>Pago em 1 transferência de 3812,50 euros diretamente para YLP que fez as diferentes transferências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61506-1C9E-498D-B77F-8EB417800392}">
  <sheetPr codeName="Feuil1"/>
  <dimension ref="A1:N31"/>
  <sheetViews>
    <sheetView tabSelected="1" workbookViewId="0">
      <selection activeCell="H7" sqref="H7"/>
    </sheetView>
  </sheetViews>
  <sheetFormatPr baseColWidth="10" defaultRowHeight="14.4" x14ac:dyDescent="0.3"/>
  <cols>
    <col min="1" max="1" width="37.6640625" bestFit="1" customWidth="1"/>
    <col min="3" max="3" width="15.33203125" customWidth="1"/>
    <col min="4" max="4" width="13.21875" customWidth="1"/>
    <col min="5" max="5" width="15.88671875" customWidth="1"/>
    <col min="8" max="8" width="12.5546875" bestFit="1" customWidth="1"/>
  </cols>
  <sheetData>
    <row r="1" spans="1:14" x14ac:dyDescent="0.3">
      <c r="A1" s="20" t="s">
        <v>33</v>
      </c>
      <c r="B1" s="21" t="s">
        <v>1</v>
      </c>
      <c r="C1" s="20" t="s">
        <v>4</v>
      </c>
      <c r="D1" s="20" t="s">
        <v>13</v>
      </c>
      <c r="E1" s="20" t="s">
        <v>15</v>
      </c>
      <c r="F1" s="20" t="s">
        <v>31</v>
      </c>
    </row>
    <row r="2" spans="1:14" x14ac:dyDescent="0.3">
      <c r="A2" s="6" t="s">
        <v>28</v>
      </c>
      <c r="B2" s="7">
        <v>2340</v>
      </c>
      <c r="C2" s="6" t="s">
        <v>5</v>
      </c>
      <c r="D2" s="8">
        <v>0</v>
      </c>
      <c r="E2" s="9">
        <f>(1-D2)*B2</f>
        <v>2340</v>
      </c>
      <c r="F2" s="6"/>
    </row>
    <row r="3" spans="1:14" x14ac:dyDescent="0.3">
      <c r="A3" s="6" t="s">
        <v>23</v>
      </c>
      <c r="B3" s="7">
        <v>4446</v>
      </c>
      <c r="C3" s="6" t="s">
        <v>6</v>
      </c>
      <c r="D3" s="8">
        <v>0</v>
      </c>
      <c r="E3" s="9">
        <f t="shared" ref="E3:E9" si="0">(1-D3)*B3</f>
        <v>4446</v>
      </c>
      <c r="F3" s="6" t="s">
        <v>29</v>
      </c>
    </row>
    <row r="4" spans="1:14" x14ac:dyDescent="0.3">
      <c r="A4" s="6" t="s">
        <v>24</v>
      </c>
      <c r="B4" s="7">
        <v>2574</v>
      </c>
      <c r="C4" s="6" t="s">
        <v>6</v>
      </c>
      <c r="D4" s="8">
        <v>0</v>
      </c>
      <c r="E4" s="9">
        <f t="shared" si="0"/>
        <v>2574</v>
      </c>
      <c r="F4" s="6" t="s">
        <v>29</v>
      </c>
    </row>
    <row r="5" spans="1:14" x14ac:dyDescent="0.3">
      <c r="A5" s="6" t="s">
        <v>25</v>
      </c>
      <c r="B5" s="7">
        <v>1400</v>
      </c>
      <c r="C5" s="6" t="s">
        <v>5</v>
      </c>
      <c r="D5" s="8">
        <v>0</v>
      </c>
      <c r="E5" s="9">
        <f t="shared" si="0"/>
        <v>1400</v>
      </c>
      <c r="F5" s="6" t="s">
        <v>30</v>
      </c>
    </row>
    <row r="6" spans="1:14" x14ac:dyDescent="0.3">
      <c r="A6" s="6" t="s">
        <v>26</v>
      </c>
      <c r="B6" s="7">
        <v>4500</v>
      </c>
      <c r="C6" s="6" t="s">
        <v>5</v>
      </c>
      <c r="D6" s="8">
        <v>0</v>
      </c>
      <c r="E6" s="9">
        <f t="shared" si="0"/>
        <v>4500</v>
      </c>
      <c r="F6" s="6" t="s">
        <v>30</v>
      </c>
    </row>
    <row r="7" spans="1:14" x14ac:dyDescent="0.3">
      <c r="A7" s="6" t="s">
        <v>27</v>
      </c>
      <c r="B7" s="7">
        <v>2400</v>
      </c>
      <c r="C7" s="6" t="s">
        <v>5</v>
      </c>
      <c r="D7" s="8">
        <v>1</v>
      </c>
      <c r="E7" s="9">
        <f t="shared" si="0"/>
        <v>0</v>
      </c>
      <c r="F7" s="6" t="s">
        <v>30</v>
      </c>
    </row>
    <row r="8" spans="1:14" x14ac:dyDescent="0.3">
      <c r="A8" s="6" t="s">
        <v>3</v>
      </c>
      <c r="B8" s="7">
        <v>785</v>
      </c>
      <c r="C8" s="6" t="s">
        <v>5</v>
      </c>
      <c r="D8" s="8">
        <v>1</v>
      </c>
      <c r="E8" s="9">
        <f t="shared" si="0"/>
        <v>0</v>
      </c>
      <c r="F8" s="6"/>
    </row>
    <row r="9" spans="1:14" x14ac:dyDescent="0.3">
      <c r="A9" s="6" t="s">
        <v>2</v>
      </c>
      <c r="B9" s="7">
        <v>350</v>
      </c>
      <c r="C9" s="6" t="s">
        <v>6</v>
      </c>
      <c r="D9" s="8">
        <v>0</v>
      </c>
      <c r="E9" s="9">
        <f t="shared" si="0"/>
        <v>350</v>
      </c>
      <c r="F9" s="6"/>
    </row>
    <row r="10" spans="1:14" x14ac:dyDescent="0.3">
      <c r="A10" s="6" t="s">
        <v>7</v>
      </c>
      <c r="B10" s="7">
        <v>0</v>
      </c>
      <c r="C10" s="6" t="s">
        <v>8</v>
      </c>
      <c r="D10" s="8">
        <v>1</v>
      </c>
      <c r="E10" s="9">
        <f>(1-D10)*B10</f>
        <v>0</v>
      </c>
      <c r="F10" s="6"/>
    </row>
    <row r="11" spans="1:14" x14ac:dyDescent="0.3">
      <c r="A11" s="17" t="s">
        <v>32</v>
      </c>
      <c r="B11" s="18">
        <f>SUM(B2:B10)</f>
        <v>18795</v>
      </c>
      <c r="D11" s="19"/>
      <c r="E11" s="15"/>
    </row>
    <row r="12" spans="1:14" x14ac:dyDescent="0.3">
      <c r="B12" s="1"/>
    </row>
    <row r="13" spans="1:14" s="10" customFormat="1" x14ac:dyDescent="0.3">
      <c r="A13" s="10" t="s">
        <v>16</v>
      </c>
      <c r="B13" s="11"/>
      <c r="C13" s="12">
        <v>45658</v>
      </c>
      <c r="D13" s="12">
        <v>45689</v>
      </c>
      <c r="E13" s="12">
        <v>45717</v>
      </c>
      <c r="F13" s="12">
        <v>45748</v>
      </c>
      <c r="G13" s="12">
        <v>45778</v>
      </c>
      <c r="H13" s="12">
        <v>45809</v>
      </c>
      <c r="I13" s="12">
        <v>45839</v>
      </c>
      <c r="J13" s="12">
        <v>45870</v>
      </c>
      <c r="K13" s="12">
        <v>45901</v>
      </c>
      <c r="L13" s="12">
        <v>45931</v>
      </c>
      <c r="M13" s="12">
        <v>45962</v>
      </c>
      <c r="N13" s="12">
        <v>45992</v>
      </c>
    </row>
    <row r="14" spans="1:14" s="13" customFormat="1" x14ac:dyDescent="0.3">
      <c r="A14" s="13" t="s">
        <v>17</v>
      </c>
      <c r="B14" s="14"/>
      <c r="C14" s="22">
        <f>SUM(C15:C21)</f>
        <v>0</v>
      </c>
      <c r="D14" s="22">
        <f t="shared" ref="D14:N14" si="1">SUM(D15:D21)</f>
        <v>-148500</v>
      </c>
      <c r="E14" s="22">
        <f>SUM(E15:E21)</f>
        <v>-1673.93</v>
      </c>
      <c r="F14" s="22">
        <f t="shared" si="1"/>
        <v>-2460.31</v>
      </c>
      <c r="G14" s="22">
        <f t="shared" si="1"/>
        <v>-2660</v>
      </c>
      <c r="H14" s="22">
        <f t="shared" si="1"/>
        <v>-157670.01</v>
      </c>
      <c r="I14" s="22">
        <f t="shared" si="1"/>
        <v>0</v>
      </c>
      <c r="J14" s="22">
        <f t="shared" si="1"/>
        <v>-395.25</v>
      </c>
      <c r="K14" s="22">
        <f t="shared" si="1"/>
        <v>-4569.3100000000004</v>
      </c>
      <c r="L14" s="22">
        <f t="shared" si="1"/>
        <v>0</v>
      </c>
      <c r="M14" s="22">
        <f t="shared" si="1"/>
        <v>0</v>
      </c>
      <c r="N14" s="14">
        <f t="shared" si="1"/>
        <v>-4415</v>
      </c>
    </row>
    <row r="15" spans="1:14" x14ac:dyDescent="0.3">
      <c r="A15" t="s">
        <v>0</v>
      </c>
      <c r="B15" s="1"/>
      <c r="C15" s="24"/>
      <c r="D15" s="23"/>
      <c r="E15" s="23"/>
      <c r="F15" s="25">
        <v>-2460.31</v>
      </c>
      <c r="G15" s="24"/>
      <c r="H15" s="25">
        <v>-3920.01</v>
      </c>
      <c r="I15" s="24"/>
      <c r="J15" s="24"/>
      <c r="K15" s="23">
        <v>-4569.3100000000004</v>
      </c>
      <c r="L15" s="24"/>
      <c r="M15" s="24"/>
      <c r="N15" s="1">
        <f>-17660/4</f>
        <v>-4415</v>
      </c>
    </row>
    <row r="16" spans="1:14" x14ac:dyDescent="0.3">
      <c r="A16" t="s">
        <v>3</v>
      </c>
      <c r="B16" s="1"/>
      <c r="C16" s="24"/>
      <c r="D16" s="23"/>
      <c r="E16" s="23">
        <v>-133.75</v>
      </c>
      <c r="F16" s="23"/>
      <c r="G16" s="23">
        <v>-785</v>
      </c>
      <c r="H16" s="25"/>
      <c r="I16" s="24"/>
      <c r="J16" s="23">
        <v>-395.25</v>
      </c>
      <c r="K16" s="24"/>
      <c r="L16" s="24"/>
      <c r="M16" s="23"/>
    </row>
    <row r="17" spans="1:14" x14ac:dyDescent="0.3">
      <c r="A17" t="s">
        <v>2</v>
      </c>
      <c r="B17" s="1"/>
      <c r="C17" s="24"/>
      <c r="D17" s="23"/>
      <c r="E17" s="24"/>
      <c r="F17" s="23"/>
      <c r="G17" s="24"/>
      <c r="H17" s="25"/>
      <c r="I17" s="24"/>
      <c r="J17" s="23"/>
      <c r="K17" s="24"/>
      <c r="L17" s="24"/>
      <c r="M17" s="24"/>
    </row>
    <row r="18" spans="1:14" x14ac:dyDescent="0.3">
      <c r="A18" t="s">
        <v>7</v>
      </c>
      <c r="B18" s="1"/>
      <c r="C18" s="24"/>
      <c r="D18" s="23"/>
      <c r="E18" s="23"/>
      <c r="F18" s="23"/>
      <c r="G18" s="24"/>
      <c r="H18" s="25"/>
      <c r="I18" s="24"/>
      <c r="J18" s="24"/>
      <c r="K18" s="24"/>
      <c r="L18" s="24"/>
      <c r="M18" s="24"/>
    </row>
    <row r="19" spans="1:14" x14ac:dyDescent="0.3">
      <c r="A19" t="s">
        <v>20</v>
      </c>
      <c r="B19" s="1"/>
      <c r="C19" s="24"/>
      <c r="D19" s="23">
        <v>-148500</v>
      </c>
      <c r="E19" s="23"/>
      <c r="F19" s="23"/>
      <c r="G19" s="24"/>
      <c r="H19" s="25"/>
      <c r="I19" s="24"/>
      <c r="J19" s="24"/>
      <c r="K19" s="24"/>
      <c r="L19" s="24"/>
      <c r="M19" s="24"/>
    </row>
    <row r="20" spans="1:14" x14ac:dyDescent="0.3">
      <c r="A20" t="s">
        <v>34</v>
      </c>
      <c r="B20" s="1"/>
      <c r="C20" s="24"/>
      <c r="D20" s="23"/>
      <c r="E20" s="23"/>
      <c r="F20" s="23"/>
      <c r="G20" s="24"/>
      <c r="H20" s="25">
        <v>-150000</v>
      </c>
      <c r="I20" s="24"/>
      <c r="J20" s="24"/>
      <c r="K20" s="24"/>
      <c r="L20" s="24"/>
      <c r="M20" s="24"/>
    </row>
    <row r="21" spans="1:14" x14ac:dyDescent="0.3">
      <c r="A21" t="s">
        <v>21</v>
      </c>
      <c r="B21" s="1"/>
      <c r="C21" s="24"/>
      <c r="D21" s="23"/>
      <c r="E21" s="23">
        <f>-1540.18</f>
        <v>-1540.18</v>
      </c>
      <c r="F21" s="23"/>
      <c r="G21" s="23">
        <v>-1875</v>
      </c>
      <c r="H21" s="25">
        <f>-1875-1875</f>
        <v>-3750</v>
      </c>
      <c r="I21" s="23"/>
      <c r="J21" s="24"/>
      <c r="K21" s="24"/>
      <c r="L21" s="24"/>
      <c r="M21" s="24"/>
    </row>
    <row r="22" spans="1:14" x14ac:dyDescent="0.3">
      <c r="A22" s="13" t="s">
        <v>18</v>
      </c>
      <c r="B22" s="1"/>
      <c r="C22" s="22">
        <f t="shared" ref="C22:N22" si="2">SUM(C23:C27)</f>
        <v>1.02</v>
      </c>
      <c r="D22" s="22">
        <f t="shared" si="2"/>
        <v>150000.51999999999</v>
      </c>
      <c r="E22" s="22">
        <f t="shared" si="2"/>
        <v>1.3</v>
      </c>
      <c r="F22" s="22">
        <f t="shared" si="2"/>
        <v>9995.35</v>
      </c>
      <c r="G22" s="22">
        <f t="shared" si="2"/>
        <v>4.07</v>
      </c>
      <c r="H22" s="22">
        <f t="shared" si="2"/>
        <v>160983.32999999999</v>
      </c>
      <c r="I22" s="22">
        <f t="shared" si="2"/>
        <v>4.4000000000000004</v>
      </c>
      <c r="J22" s="22">
        <f t="shared" si="2"/>
        <v>4.08</v>
      </c>
      <c r="K22" s="22">
        <f t="shared" si="2"/>
        <v>4.0199999999999996</v>
      </c>
      <c r="L22" s="22">
        <f t="shared" si="2"/>
        <v>3.14</v>
      </c>
      <c r="M22" s="22">
        <f t="shared" si="2"/>
        <v>1001.72</v>
      </c>
      <c r="N22" s="16">
        <f t="shared" si="2"/>
        <v>0</v>
      </c>
    </row>
    <row r="23" spans="1:14" x14ac:dyDescent="0.3">
      <c r="A23" t="s">
        <v>19</v>
      </c>
      <c r="B23" s="1"/>
      <c r="C23" s="24"/>
      <c r="D23" s="23">
        <v>150000</v>
      </c>
      <c r="E23" s="23"/>
      <c r="F23" s="23"/>
      <c r="G23" s="24"/>
      <c r="H23" s="25"/>
      <c r="I23" s="24"/>
      <c r="J23" s="24"/>
      <c r="K23" s="24"/>
      <c r="L23" s="24"/>
      <c r="M23" s="24"/>
    </row>
    <row r="24" spans="1:14" x14ac:dyDescent="0.3">
      <c r="A24" t="s">
        <v>12</v>
      </c>
      <c r="B24" s="1"/>
      <c r="C24" s="24"/>
      <c r="D24" s="23"/>
      <c r="E24" s="23"/>
      <c r="F24" s="23">
        <v>9995</v>
      </c>
      <c r="G24" s="24"/>
      <c r="H24" s="25">
        <v>160980</v>
      </c>
      <c r="I24" s="24"/>
      <c r="J24" s="24"/>
      <c r="K24" s="24"/>
      <c r="L24" s="24"/>
      <c r="M24" s="23">
        <v>1000</v>
      </c>
    </row>
    <row r="25" spans="1:14" x14ac:dyDescent="0.3">
      <c r="A25" t="s">
        <v>10</v>
      </c>
      <c r="B25" s="1"/>
      <c r="C25" s="24"/>
      <c r="D25" s="23"/>
      <c r="E25" s="23"/>
      <c r="F25" s="23"/>
      <c r="G25" s="24"/>
      <c r="H25" s="25"/>
      <c r="I25" s="24"/>
      <c r="J25" s="24"/>
      <c r="K25" s="24"/>
      <c r="L25" s="24"/>
      <c r="M25" s="24"/>
    </row>
    <row r="26" spans="1:14" x14ac:dyDescent="0.3">
      <c r="A26" t="s">
        <v>14</v>
      </c>
      <c r="B26" s="1"/>
      <c r="C26" s="23">
        <v>1.02</v>
      </c>
      <c r="D26" s="23">
        <v>0.52</v>
      </c>
      <c r="E26" s="23">
        <f>1.3</f>
        <v>1.3</v>
      </c>
      <c r="F26" s="23">
        <v>0.35</v>
      </c>
      <c r="G26" s="23">
        <v>4.07</v>
      </c>
      <c r="H26" s="25">
        <v>3.33</v>
      </c>
      <c r="I26" s="23">
        <v>4.4000000000000004</v>
      </c>
      <c r="J26" s="23">
        <v>4.08</v>
      </c>
      <c r="K26" s="23">
        <v>4.0199999999999996</v>
      </c>
      <c r="L26" s="23">
        <v>3.14</v>
      </c>
      <c r="M26" s="23">
        <v>1.72</v>
      </c>
    </row>
    <row r="27" spans="1:14" x14ac:dyDescent="0.3">
      <c r="A27" t="s">
        <v>11</v>
      </c>
      <c r="B27" s="1"/>
      <c r="C27" s="24"/>
      <c r="D27" s="23"/>
      <c r="E27" s="23"/>
      <c r="F27" s="23"/>
      <c r="G27" s="24"/>
      <c r="H27" s="24"/>
      <c r="I27" s="24"/>
      <c r="J27" s="24"/>
      <c r="K27" s="24"/>
      <c r="L27" s="24"/>
      <c r="M27" s="24"/>
    </row>
    <row r="28" spans="1:14" s="2" customFormat="1" x14ac:dyDescent="0.3">
      <c r="A28" s="2" t="s">
        <v>22</v>
      </c>
      <c r="B28" s="3">
        <v>551.86</v>
      </c>
      <c r="C28" s="3">
        <f t="shared" ref="C28:N28" si="3">B28+C22+C14</f>
        <v>552.88</v>
      </c>
      <c r="D28" s="3">
        <f t="shared" si="3"/>
        <v>2053.3999999999942</v>
      </c>
      <c r="E28" s="3">
        <f t="shared" si="3"/>
        <v>380.7699999999943</v>
      </c>
      <c r="F28" s="3">
        <f t="shared" si="3"/>
        <v>7915.8099999999959</v>
      </c>
      <c r="G28" s="3">
        <f t="shared" si="3"/>
        <v>5259.8799999999956</v>
      </c>
      <c r="H28" s="3">
        <f t="shared" si="3"/>
        <v>8573.1999999999825</v>
      </c>
      <c r="I28" s="3">
        <f t="shared" si="3"/>
        <v>8577.5999999999822</v>
      </c>
      <c r="J28" s="3">
        <f t="shared" si="3"/>
        <v>8186.4299999999821</v>
      </c>
      <c r="K28" s="3">
        <f t="shared" si="3"/>
        <v>3621.1399999999821</v>
      </c>
      <c r="L28" s="3">
        <f t="shared" si="3"/>
        <v>3624.279999999982</v>
      </c>
      <c r="M28" s="3">
        <f t="shared" si="3"/>
        <v>4625.9999999999818</v>
      </c>
      <c r="N28" s="3">
        <f t="shared" si="3"/>
        <v>210.99999999998181</v>
      </c>
    </row>
    <row r="29" spans="1:14" x14ac:dyDescent="0.3">
      <c r="A29" s="4" t="s">
        <v>9</v>
      </c>
      <c r="B29" s="5">
        <f>G28</f>
        <v>5259.8799999999956</v>
      </c>
    </row>
    <row r="30" spans="1:14" x14ac:dyDescent="0.3">
      <c r="B30" s="1"/>
    </row>
    <row r="31" spans="1:14" x14ac:dyDescent="0.3">
      <c r="B31" s="1"/>
      <c r="E31" s="1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Stéphane Olivo</dc:creator>
  <cp:lastModifiedBy>Stéphane OLIVO</cp:lastModifiedBy>
  <dcterms:created xsi:type="dcterms:W3CDTF">2024-08-02T12:55:04Z</dcterms:created>
  <dcterms:modified xsi:type="dcterms:W3CDTF">2025-11-26T22:15:09Z</dcterms:modified>
</cp:coreProperties>
</file>